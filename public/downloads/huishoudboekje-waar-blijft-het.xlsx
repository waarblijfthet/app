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" sheetId="1" state="visible" r:id="rId3"/>
    <sheet name="Mijn maand" sheetId="2" state="visible" r:id="rId4"/>
    <sheet name="Jaaruitgaven" sheetId="3" state="visible" r:id="rId5"/>
    <sheet name="Uitkom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<sst xmlns="http://schemas.openxmlformats.org/spreadsheetml/2006/main" count="81" uniqueCount="80">
  <si>
    <t xml:space="preserve">Huishoudboekje van Waar blijft het</t>
  </si>
  <si>
    <t xml:space="preserve">Gratis te gebruiken. Gemaakt door Jarno Koopman, waarblijfthet.nl (versie 12 oktober 2026).</t>
  </si>
  <si>
    <t xml:space="preserve">Zo gebruik je het</t>
  </si>
  <si>
    <t xml:space="preserve">1. Tabblad 'Mijn maand': vul in kolom B eerst in wat je DENKT dat elke post kost. Uit je hoofd, zonder te kijken.</t>
  </si>
  <si>
    <t xml:space="preserve">2. Vul daarna in kolom C, D en E in wat het WAS, uit drie maanden afschriften of je bankapp.</t>
  </si>
  <si>
    <t xml:space="preserve">3. Kolom G laat per post het verschil zien tussen je schatting en de werkelijkheid. Daar zit vaak het antwoord.</t>
  </si>
  <si>
    <t xml:space="preserve">4. Tabblad 'Jaaruitgaven': vul per post in wat het per jaar kost. Je ziet wat je daarvoor elke maand opzij moet zetten.</t>
  </si>
  <si>
    <t xml:space="preserve">5. Tabblad 'Uitkomst': vul in wat er echt overbleef per maand. Je ziet wat er op papier over zou moeten zijn, en het verschil.</t>
  </si>
  <si>
    <t xml:space="preserve">Lichte vakken zijn invulvakken. De rest rekent zelf.</t>
  </si>
  <si>
    <t xml:space="preserve">Werkt in Excel, Numbers en Google Sheets (Bestand, Importeren, Uploaden).</t>
  </si>
  <si>
    <t xml:space="preserve">Liever niet zelf bijhouden? De gratis analyse op waarblijfthet.nl/analyse doet dezelfde vergelijking in een paar minuten.</t>
  </si>
  <si>
    <t xml:space="preserve">Mijn maand: schatting tegenover werkelijkheid</t>
  </si>
  <si>
    <t xml:space="preserve">Bedragen per maand, in euro's. Vul eerst kolom B in, daarna C tot en met E.</t>
  </si>
  <si>
    <t xml:space="preserve">Post</t>
  </si>
  <si>
    <t xml:space="preserve">Schatting vooraf</t>
  </si>
  <si>
    <t xml:space="preserve">Maand 1</t>
  </si>
  <si>
    <t xml:space="preserve">Maand 2</t>
  </si>
  <si>
    <t xml:space="preserve">Maand 3</t>
  </si>
  <si>
    <t xml:space="preserve">Gemiddeld</t>
  </si>
  <si>
    <t xml:space="preserve">Verschil met schatting</t>
  </si>
  <si>
    <t xml:space="preserve">Inkomsten</t>
  </si>
  <si>
    <t xml:space="preserve">Netto salaris (1)</t>
  </si>
  <si>
    <t xml:space="preserve">Netto salaris (2)</t>
  </si>
  <si>
    <t xml:space="preserve">Kinderbijslag en toeslagen</t>
  </si>
  <si>
    <t xml:space="preserve">Overige inkomsten</t>
  </si>
  <si>
    <t xml:space="preserve">Totaal inkomsten</t>
  </si>
  <si>
    <t xml:space="preserve">Vaste lasten</t>
  </si>
  <si>
    <t xml:space="preserve">Huur of hypotheek</t>
  </si>
  <si>
    <t xml:space="preserve">Energie en water</t>
  </si>
  <si>
    <t xml:space="preserve">Internet, tv en telefoon</t>
  </si>
  <si>
    <t xml:space="preserve">Gemeentelijke belastingen (per maand)</t>
  </si>
  <si>
    <t xml:space="preserve">Zorgverzekering</t>
  </si>
  <si>
    <t xml:space="preserve">Overige verzekeringen</t>
  </si>
  <si>
    <t xml:space="preserve">Abonnementen (streaming, sport, apps)</t>
  </si>
  <si>
    <t xml:space="preserve">Kinderopvang (na toeslag)</t>
  </si>
  <si>
    <t xml:space="preserve">Lening of aflossing</t>
  </si>
  <si>
    <t xml:space="preserve">Totaal vaste lasten</t>
  </si>
  <si>
    <t xml:space="preserve">Dagelijkse uitgaven</t>
  </si>
  <si>
    <t xml:space="preserve">Boodschappen</t>
  </si>
  <si>
    <t xml:space="preserve">Vervoer (brandstof, ov, parkeren)</t>
  </si>
  <si>
    <t xml:space="preserve">Kleding en schoenen</t>
  </si>
  <si>
    <t xml:space="preserve">Verzorging</t>
  </si>
  <si>
    <t xml:space="preserve">Uit eten, afhalen en bestellen</t>
  </si>
  <si>
    <t xml:space="preserve">Vrije tijd en uitjes</t>
  </si>
  <si>
    <t xml:space="preserve">Kinderen (school, sport, zakgeld)</t>
  </si>
  <si>
    <t xml:space="preserve">Cadeaus</t>
  </si>
  <si>
    <t xml:space="preserve">Huisdieren</t>
  </si>
  <si>
    <t xml:space="preserve">Online aankopen en overig</t>
  </si>
  <si>
    <t xml:space="preserve">Totaal dagelijkse uitgaven</t>
  </si>
  <si>
    <t xml:space="preserve">Jaaruitgaven: wat komt maar een paar keer per jaar?</t>
  </si>
  <si>
    <t xml:space="preserve">Vul per post in wat het je per JAAR kost. Kijk bij twijfel naar dezelfde maand vorig jaar in je bankapp.</t>
  </si>
  <si>
    <t xml:space="preserve">Per jaar</t>
  </si>
  <si>
    <t xml:space="preserve">Per maand opzij</t>
  </si>
  <si>
    <t xml:space="preserve">Vakantie</t>
  </si>
  <si>
    <t xml:space="preserve">Weekendjes weg en dagjes uit</t>
  </si>
  <si>
    <t xml:space="preserve">Sinterklaas en kerst</t>
  </si>
  <si>
    <t xml:space="preserve">Verjaardagen</t>
  </si>
  <si>
    <t xml:space="preserve">Onderhoud huis en tuin</t>
  </si>
  <si>
    <t xml:space="preserve">Vervanging apparaten en meubels</t>
  </si>
  <si>
    <t xml:space="preserve">Auto: onderhoud, APK, banden</t>
  </si>
  <si>
    <t xml:space="preserve">Gemeentelijke belastingen (als je per jaar betaalt)</t>
  </si>
  <si>
    <t xml:space="preserve">Tandarts en eigen risico</t>
  </si>
  <si>
    <t xml:space="preserve">Kleding per seizoen</t>
  </si>
  <si>
    <t xml:space="preserve">Schoolkosten en contributies per jaar</t>
  </si>
  <si>
    <t xml:space="preserve">Overig</t>
  </si>
  <si>
    <t xml:space="preserve">Totaal</t>
  </si>
  <si>
    <t xml:space="preserve">Zet het bedrag in kolom C elke maand op een eigen rekening, los van je buffer.</t>
  </si>
  <si>
    <t xml:space="preserve">Uitkomst: papier tegenover werkelijkheid</t>
  </si>
  <si>
    <t xml:space="preserve">Gemiddelden per maand uit de andere tabbladen. Alleen het lichte vak vul je zelf in.</t>
  </si>
  <si>
    <t xml:space="preserve">Inkomsten per maand</t>
  </si>
  <si>
    <t xml:space="preserve">Vaste lasten per maand</t>
  </si>
  <si>
    <t xml:space="preserve">Dagelijkse uitgaven per maand</t>
  </si>
  <si>
    <t xml:space="preserve">Jaaruitgaven per maand</t>
  </si>
  <si>
    <t xml:space="preserve">Zou over moeten blijven</t>
  </si>
  <si>
    <t xml:space="preserve">Echt over per maand (opzij gezet plus wat er vlak voor je salaris nog stond)</t>
  </si>
  <si>
    <t xml:space="preserve">Niet aan te wijzen per maand</t>
  </si>
  <si>
    <t xml:space="preserve">Hetzelfde per jaar</t>
  </si>
  <si>
    <t xml:space="preserve">Is het verschil groter dan een paar honderd euro? Kijk in 'Mijn maand' naar kolom G: welke posten liggen ver boven je schatting?</t>
  </si>
  <si>
    <t xml:space="preserve">Is het verschil klein? Dan heb je je uitgaven goed in beeld. Dan zit de krapte niet in een lek maar in de keuzes zelf.</t>
  </si>
  <si>
    <t xml:space="preserve">Meer uitleg: waarblijfthet.nl/inzichten/waar-blijft-mijn-geld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</si>
</sst>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€ &quot;#,##0;[RED]&quot;-€ &quot;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C3A2A"/>
      <name val="Arial"/>
      <family val="0"/>
      <charset val="1"/>
    </font>
    <font>
      <sz val="10"/>
      <color rgb="FF5A6B66"/>
      <name val="Arial"/>
      <family val="0"/>
      <charset val="1"/>
    </font>
    <font>
      <b val="true"/>
      <sz val="12"/>
      <color rgb="FF1C3A2A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5A6B66"/>
      <name val="Arial"/>
      <family val="0"/>
      <charset val="1"/>
    </font>
    <font>
      <sz val="11"/>
      <color rgb="FF1C3A2A"/>
      <name val="Arial"/>
      <family val="0"/>
      <charset val="1"/>
    </font>
    <font>
      <b val="true"/>
      <sz val="14"/>
      <color rgb="FF1C3A2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C3A2A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4603A"/>
      <name val="Arial"/>
      <family val="0"/>
      <charset val="1"/>
    </font>
    <font>
      <i val="true"/>
      <sz val="10"/>
      <color rgb="FF5A6B66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C3A2A"/>
        <bgColor rgb="FF333300"/>
      </patternFill>
    </fill>
    <fill>
      <patternFill patternType="solid">
        <fgColor rgb="FFE7F1EE"/>
        <bgColor rgb="FFD6E5E0"/>
      </patternFill>
    </fill>
    <fill>
      <patternFill patternType="solid">
        <fgColor rgb="FFFDFA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6E5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FAF4"/>
      <rgbColor rgb="FFE7F1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5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4603A"/>
      <rgbColor rgb="FF5A6B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3A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26.85" hidden="false" customHeight="false" outlineLevel="0" collapsed="false">
      <c r="A5" s="5" t="s">
        <v>3</v>
      </c>
    </row>
    <row r="6" customFormat="false" ht="15" hidden="false" customHeight="false" outlineLevel="0" collapsed="false">
      <c r="A6" s="5" t="s">
        <v>4</v>
      </c>
    </row>
    <row r="7" customFormat="false" ht="26.85" hidden="false" customHeight="false" outlineLevel="0" collapsed="false">
      <c r="A7" s="5" t="s">
        <v>5</v>
      </c>
    </row>
    <row r="8" customFormat="false" ht="26.85" hidden="false" customHeight="false" outlineLevel="0" collapsed="false">
      <c r="A8" s="5" t="s">
        <v>6</v>
      </c>
    </row>
    <row r="9" customFormat="false" ht="26.85" hidden="false" customHeight="false" outlineLevel="0" collapsed="false">
      <c r="A9" s="5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6" t="s">
        <v>8</v>
      </c>
    </row>
    <row r="12" customFormat="false" ht="15" hidden="false" customHeight="false" outlineLevel="0" collapsed="false">
      <c r="A12" s="6" t="s">
        <v>9</v>
      </c>
    </row>
    <row r="13" customFormat="false" ht="15" hidden="false" customHeight="false" outlineLevel="0" collapsed="false">
      <c r="A13" s="3"/>
    </row>
    <row r="14" customFormat="false" ht="26.85" hidden="false" customHeight="false" outlineLevel="0" collapsed="false">
      <c r="A14" s="7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5" min="3" style="0" width="13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8" t="s">
        <v>11</v>
      </c>
    </row>
    <row r="2" customFormat="false" ht="15" hidden="false" customHeight="false" outlineLevel="0" collapsed="false">
      <c r="A2" s="9" t="s">
        <v>12</v>
      </c>
    </row>
    <row r="4" customFormat="false" ht="30" hidden="false" customHeight="true" outlineLevel="0" collapsed="false">
      <c r="A4" s="10" t="s">
        <v>13</v>
      </c>
      <c r="B4" s="11" t="s">
        <v>14</v>
      </c>
      <c r="C4" s="11" t="s">
        <v>15</v>
      </c>
      <c r="D4" s="11" t="s">
        <v>16</v>
      </c>
      <c r="E4" s="11" t="s">
        <v>17</v>
      </c>
      <c r="F4" s="11" t="s">
        <v>18</v>
      </c>
      <c r="G4" s="11" t="s">
        <v>19</v>
      </c>
    </row>
    <row r="5" customFormat="false" ht="15" hidden="false" customHeight="false" outlineLevel="0" collapsed="false">
      <c r="A5" s="12" t="s">
        <v>20</v>
      </c>
      <c r="B5" s="13"/>
      <c r="C5" s="13"/>
      <c r="D5" s="13"/>
      <c r="E5" s="13"/>
      <c r="F5" s="13"/>
      <c r="G5" s="13"/>
    </row>
    <row r="6" customFormat="false" ht="15" hidden="false" customHeight="false" outlineLevel="0" collapsed="false">
      <c r="A6" s="14" t="s">
        <v>21</v>
      </c>
      <c r="B6" s="15"/>
      <c r="C6" s="15"/>
      <c r="D6" s="15"/>
      <c r="E6" s="15"/>
      <c r="F6" s="16" t="str">
        <f aca="false">IF(COUNT(C6:E6)=0,"",AVERAGE(C6:E6))</f>
        <v/>
      </c>
      <c r="G6" s="16" t="str">
        <f aca="false">IF(OR(B6="",F6=""),"",F6-B6)</f>
        <v/>
      </c>
    </row>
    <row r="7" customFormat="false" ht="15" hidden="false" customHeight="false" outlineLevel="0" collapsed="false">
      <c r="A7" s="14" t="s">
        <v>22</v>
      </c>
      <c r="B7" s="15"/>
      <c r="C7" s="15"/>
      <c r="D7" s="15"/>
      <c r="E7" s="15"/>
      <c r="F7" s="16" t="str">
        <f aca="false">IF(COUNT(C7:E7)=0,"",AVERAGE(C7:E7))</f>
        <v/>
      </c>
      <c r="G7" s="16" t="str">
        <f aca="false">IF(OR(B7="",F7=""),"",F7-B7)</f>
        <v/>
      </c>
    </row>
    <row r="8" customFormat="false" ht="15" hidden="false" customHeight="false" outlineLevel="0" collapsed="false">
      <c r="A8" s="14" t="s">
        <v>23</v>
      </c>
      <c r="B8" s="15"/>
      <c r="C8" s="15"/>
      <c r="D8" s="15"/>
      <c r="E8" s="15"/>
      <c r="F8" s="16" t="str">
        <f aca="false">IF(COUNT(C8:E8)=0,"",AVERAGE(C8:E8))</f>
        <v/>
      </c>
      <c r="G8" s="16" t="str">
        <f aca="false">IF(OR(B8="",F8=""),"",F8-B8)</f>
        <v/>
      </c>
    </row>
    <row r="9" customFormat="false" ht="15" hidden="false" customHeight="false" outlineLevel="0" collapsed="false">
      <c r="A9" s="14" t="s">
        <v>24</v>
      </c>
      <c r="B9" s="15"/>
      <c r="C9" s="15"/>
      <c r="D9" s="15"/>
      <c r="E9" s="15"/>
      <c r="F9" s="16" t="str">
        <f aca="false">IF(COUNT(C9:E9)=0,"",AVERAGE(C9:E9))</f>
        <v/>
      </c>
      <c r="G9" s="16" t="str">
        <f aca="false">IF(OR(B9="",F9=""),"",F9-B9)</f>
        <v/>
      </c>
    </row>
    <row r="10" customFormat="false" ht="15" hidden="false" customHeight="false" outlineLevel="0" collapsed="false">
      <c r="A10" s="17" t="s">
        <v>25</v>
      </c>
      <c r="B10" s="18" t="n">
        <f aca="false">SUM(B6:B9)</f>
        <v>0</v>
      </c>
      <c r="C10" s="18" t="n">
        <f aca="false">SUM(C6:C9)</f>
        <v>0</v>
      </c>
      <c r="D10" s="18" t="n">
        <f aca="false">SUM(D6:D9)</f>
        <v>0</v>
      </c>
      <c r="E10" s="18" t="n">
        <f aca="false">SUM(E6:E9)</f>
        <v>0</v>
      </c>
      <c r="F10" s="18" t="n">
        <f aca="false">SUM(F6:F9)</f>
        <v>0</v>
      </c>
      <c r="G10" s="18" t="n">
        <f aca="false">F10-B10</f>
        <v>0</v>
      </c>
    </row>
    <row r="12" customFormat="false" ht="15" hidden="false" customHeight="false" outlineLevel="0" collapsed="false">
      <c r="A12" s="12" t="s">
        <v>26</v>
      </c>
      <c r="B12" s="13"/>
      <c r="C12" s="13"/>
      <c r="D12" s="13"/>
      <c r="E12" s="13"/>
      <c r="F12" s="13"/>
      <c r="G12" s="13"/>
    </row>
    <row r="13" customFormat="false" ht="15" hidden="false" customHeight="false" outlineLevel="0" collapsed="false">
      <c r="A13" s="14" t="s">
        <v>27</v>
      </c>
      <c r="B13" s="15"/>
      <c r="C13" s="15"/>
      <c r="D13" s="15"/>
      <c r="E13" s="15"/>
      <c r="F13" s="16" t="str">
        <f aca="false">IF(COUNT(C13:E13)=0,"",AVERAGE(C13:E13))</f>
        <v/>
      </c>
      <c r="G13" s="16" t="str">
        <f aca="false">IF(OR(B13="",F13=""),"",F13-B13)</f>
        <v/>
      </c>
    </row>
    <row r="14" customFormat="false" ht="15" hidden="false" customHeight="false" outlineLevel="0" collapsed="false">
      <c r="A14" s="14" t="s">
        <v>28</v>
      </c>
      <c r="B14" s="15"/>
      <c r="C14" s="15"/>
      <c r="D14" s="15"/>
      <c r="E14" s="15"/>
      <c r="F14" s="16" t="str">
        <f aca="false">IF(COUNT(C14:E14)=0,"",AVERAGE(C14:E14))</f>
        <v/>
      </c>
      <c r="G14" s="16" t="str">
        <f aca="false">IF(OR(B14="",F14=""),"",F14-B14)</f>
        <v/>
      </c>
    </row>
    <row r="15" customFormat="false" ht="15" hidden="false" customHeight="false" outlineLevel="0" collapsed="false">
      <c r="A15" s="14" t="s">
        <v>29</v>
      </c>
      <c r="B15" s="15"/>
      <c r="C15" s="15"/>
      <c r="D15" s="15"/>
      <c r="E15" s="15"/>
      <c r="F15" s="16" t="str">
        <f aca="false">IF(COUNT(C15:E15)=0,"",AVERAGE(C15:E15))</f>
        <v/>
      </c>
      <c r="G15" s="16" t="str">
        <f aca="false">IF(OR(B15="",F15=""),"",F15-B15)</f>
        <v/>
      </c>
    </row>
    <row r="16" customFormat="false" ht="15" hidden="false" customHeight="false" outlineLevel="0" collapsed="false">
      <c r="A16" s="14" t="s">
        <v>30</v>
      </c>
      <c r="B16" s="15"/>
      <c r="C16" s="15"/>
      <c r="D16" s="15"/>
      <c r="E16" s="15"/>
      <c r="F16" s="16" t="str">
        <f aca="false">IF(COUNT(C16:E16)=0,"",AVERAGE(C16:E16))</f>
        <v/>
      </c>
      <c r="G16" s="16" t="str">
        <f aca="false">IF(OR(B16="",F16=""),"",F16-B16)</f>
        <v/>
      </c>
    </row>
    <row r="17" customFormat="false" ht="15" hidden="false" customHeight="false" outlineLevel="0" collapsed="false">
      <c r="A17" s="14" t="s">
        <v>31</v>
      </c>
      <c r="B17" s="15"/>
      <c r="C17" s="15"/>
      <c r="D17" s="15"/>
      <c r="E17" s="15"/>
      <c r="F17" s="16" t="str">
        <f aca="false">IF(COUNT(C17:E17)=0,"",AVERAGE(C17:E17))</f>
        <v/>
      </c>
      <c r="G17" s="16" t="str">
        <f aca="false">IF(OR(B17="",F17=""),"",F17-B17)</f>
        <v/>
      </c>
    </row>
    <row r="18" customFormat="false" ht="15" hidden="false" customHeight="false" outlineLevel="0" collapsed="false">
      <c r="A18" s="14" t="s">
        <v>32</v>
      </c>
      <c r="B18" s="15"/>
      <c r="C18" s="15"/>
      <c r="D18" s="15"/>
      <c r="E18" s="15"/>
      <c r="F18" s="16" t="str">
        <f aca="false">IF(COUNT(C18:E18)=0,"",AVERAGE(C18:E18))</f>
        <v/>
      </c>
      <c r="G18" s="16" t="str">
        <f aca="false">IF(OR(B18="",F18=""),"",F18-B18)</f>
        <v/>
      </c>
    </row>
    <row r="19" customFormat="false" ht="15" hidden="false" customHeight="false" outlineLevel="0" collapsed="false">
      <c r="A19" s="14" t="s">
        <v>33</v>
      </c>
      <c r="B19" s="15"/>
      <c r="C19" s="15"/>
      <c r="D19" s="15"/>
      <c r="E19" s="15"/>
      <c r="F19" s="16" t="str">
        <f aca="false">IF(COUNT(C19:E19)=0,"",AVERAGE(C19:E19))</f>
        <v/>
      </c>
      <c r="G19" s="16" t="str">
        <f aca="false">IF(OR(B19="",F19=""),"",F19-B19)</f>
        <v/>
      </c>
    </row>
    <row r="20" customFormat="false" ht="15" hidden="false" customHeight="false" outlineLevel="0" collapsed="false">
      <c r="A20" s="14" t="s">
        <v>34</v>
      </c>
      <c r="B20" s="15"/>
      <c r="C20" s="15"/>
      <c r="D20" s="15"/>
      <c r="E20" s="15"/>
      <c r="F20" s="16" t="str">
        <f aca="false">IF(COUNT(C20:E20)=0,"",AVERAGE(C20:E20))</f>
        <v/>
      </c>
      <c r="G20" s="16" t="str">
        <f aca="false">IF(OR(B20="",F20=""),"",F20-B20)</f>
        <v/>
      </c>
    </row>
    <row r="21" customFormat="false" ht="15" hidden="false" customHeight="false" outlineLevel="0" collapsed="false">
      <c r="A21" s="14" t="s">
        <v>35</v>
      </c>
      <c r="B21" s="15"/>
      <c r="C21" s="15"/>
      <c r="D21" s="15"/>
      <c r="E21" s="15"/>
      <c r="F21" s="16" t="str">
        <f aca="false">IF(COUNT(C21:E21)=0,"",AVERAGE(C21:E21))</f>
        <v/>
      </c>
      <c r="G21" s="16" t="str">
        <f aca="false">IF(OR(B21="",F21=""),"",F21-B21)</f>
        <v/>
      </c>
    </row>
    <row r="22" customFormat="false" ht="15" hidden="false" customHeight="false" outlineLevel="0" collapsed="false">
      <c r="A22" s="17" t="s">
        <v>36</v>
      </c>
      <c r="B22" s="18" t="n">
        <f aca="false">SUM(B13:B21)</f>
        <v>0</v>
      </c>
      <c r="C22" s="18" t="n">
        <f aca="false">SUM(C13:C21)</f>
        <v>0</v>
      </c>
      <c r="D22" s="18" t="n">
        <f aca="false">SUM(D13:D21)</f>
        <v>0</v>
      </c>
      <c r="E22" s="18" t="n">
        <f aca="false">SUM(E13:E21)</f>
        <v>0</v>
      </c>
      <c r="F22" s="18" t="n">
        <f aca="false">SUM(F13:F21)</f>
        <v>0</v>
      </c>
      <c r="G22" s="18" t="n">
        <f aca="false">F22-B22</f>
        <v>0</v>
      </c>
    </row>
    <row r="24" customFormat="false" ht="15" hidden="false" customHeight="false" outlineLevel="0" collapsed="false">
      <c r="A24" s="12" t="s">
        <v>37</v>
      </c>
      <c r="B24" s="13"/>
      <c r="C24" s="13"/>
      <c r="D24" s="13"/>
      <c r="E24" s="13"/>
      <c r="F24" s="13"/>
      <c r="G24" s="13"/>
    </row>
    <row r="25" customFormat="false" ht="15" hidden="false" customHeight="false" outlineLevel="0" collapsed="false">
      <c r="A25" s="14" t="s">
        <v>38</v>
      </c>
      <c r="B25" s="15"/>
      <c r="C25" s="15"/>
      <c r="D25" s="15"/>
      <c r="E25" s="15"/>
      <c r="F25" s="16" t="str">
        <f aca="false">IF(COUNT(C25:E25)=0,"",AVERAGE(C25:E25))</f>
        <v/>
      </c>
      <c r="G25" s="16" t="str">
        <f aca="false">IF(OR(B25="",F25=""),"",F25-B25)</f>
        <v/>
      </c>
    </row>
    <row r="26" customFormat="false" ht="15" hidden="false" customHeight="false" outlineLevel="0" collapsed="false">
      <c r="A26" s="14" t="s">
        <v>39</v>
      </c>
      <c r="B26" s="15"/>
      <c r="C26" s="15"/>
      <c r="D26" s="15"/>
      <c r="E26" s="15"/>
      <c r="F26" s="16" t="str">
        <f aca="false">IF(COUNT(C26:E26)=0,"",AVERAGE(C26:E26))</f>
        <v/>
      </c>
      <c r="G26" s="16" t="str">
        <f aca="false">IF(OR(B26="",F26=""),"",F26-B26)</f>
        <v/>
      </c>
    </row>
    <row r="27" customFormat="false" ht="15" hidden="false" customHeight="false" outlineLevel="0" collapsed="false">
      <c r="A27" s="14" t="s">
        <v>40</v>
      </c>
      <c r="B27" s="15"/>
      <c r="C27" s="15"/>
      <c r="D27" s="15"/>
      <c r="E27" s="15"/>
      <c r="F27" s="16" t="str">
        <f aca="false">IF(COUNT(C27:E27)=0,"",AVERAGE(C27:E27))</f>
        <v/>
      </c>
      <c r="G27" s="16" t="str">
        <f aca="false">IF(OR(B27="",F27=""),"",F27-B27)</f>
        <v/>
      </c>
    </row>
    <row r="28" customFormat="false" ht="15" hidden="false" customHeight="false" outlineLevel="0" collapsed="false">
      <c r="A28" s="14" t="s">
        <v>41</v>
      </c>
      <c r="B28" s="15"/>
      <c r="C28" s="15"/>
      <c r="D28" s="15"/>
      <c r="E28" s="15"/>
      <c r="F28" s="16" t="str">
        <f aca="false">IF(COUNT(C28:E28)=0,"",AVERAGE(C28:E28))</f>
        <v/>
      </c>
      <c r="G28" s="16" t="str">
        <f aca="false">IF(OR(B28="",F28=""),"",F28-B28)</f>
        <v/>
      </c>
    </row>
    <row r="29" customFormat="false" ht="15" hidden="false" customHeight="false" outlineLevel="0" collapsed="false">
      <c r="A29" s="14" t="s">
        <v>42</v>
      </c>
      <c r="B29" s="15"/>
      <c r="C29" s="15"/>
      <c r="D29" s="15"/>
      <c r="E29" s="15"/>
      <c r="F29" s="16" t="str">
        <f aca="false">IF(COUNT(C29:E29)=0,"",AVERAGE(C29:E29))</f>
        <v/>
      </c>
      <c r="G29" s="16" t="str">
        <f aca="false">IF(OR(B29="",F29=""),"",F29-B29)</f>
        <v/>
      </c>
    </row>
    <row r="30" customFormat="false" ht="15" hidden="false" customHeight="false" outlineLevel="0" collapsed="false">
      <c r="A30" s="14" t="s">
        <v>43</v>
      </c>
      <c r="B30" s="15"/>
      <c r="C30" s="15"/>
      <c r="D30" s="15"/>
      <c r="E30" s="15"/>
      <c r="F30" s="16" t="str">
        <f aca="false">IF(COUNT(C30:E30)=0,"",AVERAGE(C30:E30))</f>
        <v/>
      </c>
      <c r="G30" s="16" t="str">
        <f aca="false">IF(OR(B30="",F30=""),"",F30-B30)</f>
        <v/>
      </c>
    </row>
    <row r="31" customFormat="false" ht="15" hidden="false" customHeight="false" outlineLevel="0" collapsed="false">
      <c r="A31" s="14" t="s">
        <v>44</v>
      </c>
      <c r="B31" s="15"/>
      <c r="C31" s="15"/>
      <c r="D31" s="15"/>
      <c r="E31" s="15"/>
      <c r="F31" s="16" t="str">
        <f aca="false">IF(COUNT(C31:E31)=0,"",AVERAGE(C31:E31))</f>
        <v/>
      </c>
      <c r="G31" s="16" t="str">
        <f aca="false">IF(OR(B31="",F31=""),"",F31-B31)</f>
        <v/>
      </c>
    </row>
    <row r="32" customFormat="false" ht="15" hidden="false" customHeight="false" outlineLevel="0" collapsed="false">
      <c r="A32" s="14" t="s">
        <v>45</v>
      </c>
      <c r="B32" s="15"/>
      <c r="C32" s="15"/>
      <c r="D32" s="15"/>
      <c r="E32" s="15"/>
      <c r="F32" s="16" t="str">
        <f aca="false">IF(COUNT(C32:E32)=0,"",AVERAGE(C32:E32))</f>
        <v/>
      </c>
      <c r="G32" s="16" t="str">
        <f aca="false">IF(OR(B32="",F32=""),"",F32-B32)</f>
        <v/>
      </c>
    </row>
    <row r="33" customFormat="false" ht="15" hidden="false" customHeight="false" outlineLevel="0" collapsed="false">
      <c r="A33" s="14" t="s">
        <v>46</v>
      </c>
      <c r="B33" s="15"/>
      <c r="C33" s="15"/>
      <c r="D33" s="15"/>
      <c r="E33" s="15"/>
      <c r="F33" s="16" t="str">
        <f aca="false">IF(COUNT(C33:E33)=0,"",AVERAGE(C33:E33))</f>
        <v/>
      </c>
      <c r="G33" s="16" t="str">
        <f aca="false">IF(OR(B33="",F33=""),"",F33-B33)</f>
        <v/>
      </c>
    </row>
    <row r="34" customFormat="false" ht="15" hidden="false" customHeight="false" outlineLevel="0" collapsed="false">
      <c r="A34" s="14" t="s">
        <v>47</v>
      </c>
      <c r="B34" s="15"/>
      <c r="C34" s="15"/>
      <c r="D34" s="15"/>
      <c r="E34" s="15"/>
      <c r="F34" s="16" t="str">
        <f aca="false">IF(COUNT(C34:E34)=0,"",AVERAGE(C34:E34))</f>
        <v/>
      </c>
      <c r="G34" s="16" t="str">
        <f aca="false">IF(OR(B34="",F34=""),"",F34-B34)</f>
        <v/>
      </c>
    </row>
    <row r="35" customFormat="false" ht="15" hidden="false" customHeight="false" outlineLevel="0" collapsed="false">
      <c r="A35" s="17" t="s">
        <v>48</v>
      </c>
      <c r="B35" s="18" t="n">
        <f aca="false">SUM(B25:B34)</f>
        <v>0</v>
      </c>
      <c r="C35" s="18" t="n">
        <f aca="false">SUM(C25:C34)</f>
        <v>0</v>
      </c>
      <c r="D35" s="18" t="n">
        <f aca="false">SUM(D25:D34)</f>
        <v>0</v>
      </c>
      <c r="E35" s="18" t="n">
        <f aca="false">SUM(E25:E34)</f>
        <v>0</v>
      </c>
      <c r="F35" s="18" t="n">
        <f aca="false">SUM(F25:F34)</f>
        <v>0</v>
      </c>
      <c r="G35" s="18" t="n">
        <f aca="false">F35-B35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8"/>
  </cols>
  <sheetData>
    <row r="1" customFormat="false" ht="17.35" hidden="false" customHeight="false" outlineLevel="0" collapsed="false">
      <c r="A1" s="8" t="s">
        <v>49</v>
      </c>
    </row>
    <row r="2" customFormat="false" ht="15" hidden="false" customHeight="false" outlineLevel="0" collapsed="false">
      <c r="A2" s="9" t="s">
        <v>50</v>
      </c>
    </row>
    <row r="4" customFormat="false" ht="15" hidden="false" customHeight="false" outlineLevel="0" collapsed="false">
      <c r="A4" s="19" t="s">
        <v>13</v>
      </c>
      <c r="B4" s="20" t="s">
        <v>51</v>
      </c>
      <c r="C4" s="20" t="s">
        <v>52</v>
      </c>
    </row>
    <row r="5" customFormat="false" ht="15" hidden="false" customHeight="false" outlineLevel="0" collapsed="false">
      <c r="A5" s="14" t="s">
        <v>53</v>
      </c>
      <c r="B5" s="15"/>
      <c r="C5" s="16" t="str">
        <f aca="false">IF(B5="","",B5/12)</f>
        <v/>
      </c>
    </row>
    <row r="6" customFormat="false" ht="15" hidden="false" customHeight="false" outlineLevel="0" collapsed="false">
      <c r="A6" s="14" t="s">
        <v>54</v>
      </c>
      <c r="B6" s="15"/>
      <c r="C6" s="16" t="str">
        <f aca="false">IF(B6="","",B6/12)</f>
        <v/>
      </c>
    </row>
    <row r="7" customFormat="false" ht="15" hidden="false" customHeight="false" outlineLevel="0" collapsed="false">
      <c r="A7" s="14" t="s">
        <v>55</v>
      </c>
      <c r="B7" s="15"/>
      <c r="C7" s="16" t="str">
        <f aca="false">IF(B7="","",B7/12)</f>
        <v/>
      </c>
    </row>
    <row r="8" customFormat="false" ht="15" hidden="false" customHeight="false" outlineLevel="0" collapsed="false">
      <c r="A8" s="14" t="s">
        <v>56</v>
      </c>
      <c r="B8" s="15"/>
      <c r="C8" s="16" t="str">
        <f aca="false">IF(B8="","",B8/12)</f>
        <v/>
      </c>
    </row>
    <row r="9" customFormat="false" ht="15" hidden="false" customHeight="false" outlineLevel="0" collapsed="false">
      <c r="A9" s="14" t="s">
        <v>57</v>
      </c>
      <c r="B9" s="15"/>
      <c r="C9" s="16" t="str">
        <f aca="false">IF(B9="","",B9/12)</f>
        <v/>
      </c>
    </row>
    <row r="10" customFormat="false" ht="15" hidden="false" customHeight="false" outlineLevel="0" collapsed="false">
      <c r="A10" s="14" t="s">
        <v>58</v>
      </c>
      <c r="B10" s="15"/>
      <c r="C10" s="16" t="str">
        <f aca="false">IF(B10="","",B10/12)</f>
        <v/>
      </c>
    </row>
    <row r="11" customFormat="false" ht="15" hidden="false" customHeight="false" outlineLevel="0" collapsed="false">
      <c r="A11" s="14" t="s">
        <v>59</v>
      </c>
      <c r="B11" s="15"/>
      <c r="C11" s="16" t="str">
        <f aca="false">IF(B11="","",B11/12)</f>
        <v/>
      </c>
    </row>
    <row r="12" customFormat="false" ht="15" hidden="false" customHeight="false" outlineLevel="0" collapsed="false">
      <c r="A12" s="14" t="s">
        <v>60</v>
      </c>
      <c r="B12" s="15"/>
      <c r="C12" s="16" t="str">
        <f aca="false">IF(B12="","",B12/12)</f>
        <v/>
      </c>
    </row>
    <row r="13" customFormat="false" ht="15" hidden="false" customHeight="false" outlineLevel="0" collapsed="false">
      <c r="A13" s="14" t="s">
        <v>61</v>
      </c>
      <c r="B13" s="15"/>
      <c r="C13" s="16" t="str">
        <f aca="false">IF(B13="","",B13/12)</f>
        <v/>
      </c>
    </row>
    <row r="14" customFormat="false" ht="15" hidden="false" customHeight="false" outlineLevel="0" collapsed="false">
      <c r="A14" s="14" t="s">
        <v>62</v>
      </c>
      <c r="B14" s="15"/>
      <c r="C14" s="16" t="str">
        <f aca="false">IF(B14="","",B14/12)</f>
        <v/>
      </c>
    </row>
    <row r="15" customFormat="false" ht="15" hidden="false" customHeight="false" outlineLevel="0" collapsed="false">
      <c r="A15" s="14" t="s">
        <v>63</v>
      </c>
      <c r="B15" s="15"/>
      <c r="C15" s="16" t="str">
        <f aca="false">IF(B15="","",B15/12)</f>
        <v/>
      </c>
    </row>
    <row r="16" customFormat="false" ht="15" hidden="false" customHeight="false" outlineLevel="0" collapsed="false">
      <c r="A16" s="14" t="s">
        <v>64</v>
      </c>
      <c r="B16" s="15"/>
      <c r="C16" s="16" t="str">
        <f aca="false">IF(B16="","",B16/12)</f>
        <v/>
      </c>
    </row>
    <row r="17" customFormat="false" ht="15" hidden="false" customHeight="false" outlineLevel="0" collapsed="false">
      <c r="A17" s="17" t="s">
        <v>65</v>
      </c>
      <c r="B17" s="18" t="n">
        <f aca="false">SUM(B5:B16)</f>
        <v>0</v>
      </c>
      <c r="C17" s="21" t="n">
        <f aca="false">B17/12</f>
        <v>0</v>
      </c>
    </row>
    <row r="19" customFormat="false" ht="15" hidden="false" customHeight="false" outlineLevel="0" collapsed="false">
      <c r="A19" s="22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8" t="s">
        <v>67</v>
      </c>
    </row>
    <row r="2" customFormat="false" ht="15" hidden="false" customHeight="false" outlineLevel="0" collapsed="false">
      <c r="A2" s="9" t="s">
        <v>68</v>
      </c>
    </row>
    <row r="4" customFormat="false" ht="15" hidden="false" customHeight="false" outlineLevel="0" collapsed="false">
      <c r="A4" s="23" t="s">
        <v>69</v>
      </c>
      <c r="B4" s="24" t="n">
        <f aca="false">'Mijn maand'!F10</f>
        <v>0</v>
      </c>
    </row>
    <row r="5" customFormat="false" ht="15" hidden="false" customHeight="false" outlineLevel="0" collapsed="false">
      <c r="A5" s="23" t="s">
        <v>70</v>
      </c>
      <c r="B5" s="24" t="n">
        <f aca="false">'Mijn maand'!F22</f>
        <v>0</v>
      </c>
    </row>
    <row r="6" customFormat="false" ht="15" hidden="false" customHeight="false" outlineLevel="0" collapsed="false">
      <c r="A6" s="23" t="s">
        <v>71</v>
      </c>
      <c r="B6" s="24" t="n">
        <f aca="false">'Mijn maand'!F35</f>
        <v>0</v>
      </c>
    </row>
    <row r="7" customFormat="false" ht="15" hidden="false" customHeight="false" outlineLevel="0" collapsed="false">
      <c r="A7" s="23" t="s">
        <v>72</v>
      </c>
      <c r="B7" s="24" t="n">
        <f aca="false">Jaaruitgaven!C17</f>
        <v>0</v>
      </c>
    </row>
    <row r="8" customFormat="false" ht="15" hidden="false" customHeight="false" outlineLevel="0" collapsed="false">
      <c r="A8" s="25" t="s">
        <v>73</v>
      </c>
      <c r="B8" s="26" t="n">
        <f aca="false">B4-B5-B6-B7</f>
        <v>0</v>
      </c>
    </row>
    <row r="9" customFormat="false" ht="30" hidden="false" customHeight="true" outlineLevel="0" collapsed="false">
      <c r="A9" s="23" t="s">
        <v>74</v>
      </c>
      <c r="B9" s="15"/>
    </row>
    <row r="10" customFormat="false" ht="15" hidden="false" customHeight="false" outlineLevel="0" collapsed="false">
      <c r="A10" s="25" t="s">
        <v>75</v>
      </c>
      <c r="B10" s="21" t="str">
        <f aca="false">IF(B9="","",B8-B9)</f>
        <v/>
      </c>
    </row>
    <row r="11" customFormat="false" ht="15" hidden="false" customHeight="false" outlineLevel="0" collapsed="false">
      <c r="A11" s="23" t="s">
        <v>76</v>
      </c>
      <c r="B11" s="24" t="str">
        <f aca="false">IF(B10="","",B10*12)</f>
        <v/>
      </c>
    </row>
    <row r="13" customFormat="false" ht="30" hidden="false" customHeight="true" outlineLevel="0" collapsed="false">
      <c r="A13" s="27" t="s">
        <v>77</v>
      </c>
    </row>
    <row r="14" customFormat="false" ht="30" hidden="false" customHeight="true" outlineLevel="0" collapsed="false">
      <c r="A14" s="27" t="s">
        <v>78</v>
      </c>
    </row>
    <row r="16" customFormat="false" ht="15" hidden="false" customHeight="false" outlineLevel="0" collapsed="false">
      <c r="A16" s="27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2026-10-12T14:53:49Z</dcterms:created>
  <dc:creator>openpyxl</dc:creator>
  <dc:description/>
  <dc:language>en-US</dc:language>
  <cp:lastModifiedBy/>
  <dcterms:modified xsi:type="dcterms:W3CDTF">2026-10-12T14:53:49Z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